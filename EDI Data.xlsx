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60" documentId="11_2BA91B979AC233FC1C70E13E0A3862326F3D85F1" xr6:coauthVersionLast="47" xr6:coauthVersionMax="47" xr10:uidLastSave="{39BFF91C-80BB-4F31-A400-D373FFE7DA9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2" i="1"/>
  <c r="C43" i="1"/>
  <c r="C44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<sst xmlns="http://schemas.openxmlformats.org/spreadsheetml/2006/main" count="400" uniqueCount="64">
  <si>
    <t>ID</t>
  </si>
  <si>
    <t>Year of Birth</t>
  </si>
  <si>
    <t>Age</t>
  </si>
  <si>
    <t>Do you consider yourself to be a disabled person?</t>
  </si>
  <si>
    <t>Do you have any physical or mental health conditions or illnesses lasting or expected to last for 12 months or more?</t>
  </si>
  <si>
    <t>What is your ethnic group? Choose one option that best describes your ethnic group or background.</t>
  </si>
  <si>
    <t>What is your religion?</t>
  </si>
  <si>
    <t>What is your sex? A question about gender identity will follow.</t>
  </si>
  <si>
    <t>Which of the following best describes your gender?</t>
  </si>
  <si>
    <t>Do you identify as trans?</t>
  </si>
  <si>
    <t>Which of the following best describes your sexual orientation?</t>
  </si>
  <si>
    <t>Do you have any caring responsibilities? (If you share care responsibilities equally then please answer as the primary carer)</t>
  </si>
  <si>
    <t>Last Updated</t>
  </si>
  <si>
    <t>No</t>
  </si>
  <si>
    <t>White</t>
  </si>
  <si>
    <t>Christian</t>
  </si>
  <si>
    <t>Female</t>
  </si>
  <si>
    <t>Woman</t>
  </si>
  <si>
    <t>Straight</t>
  </si>
  <si>
    <t>None</t>
  </si>
  <si>
    <t>Yes</t>
  </si>
  <si>
    <t>Asian</t>
  </si>
  <si>
    <t>Hindu</t>
  </si>
  <si>
    <t>Male</t>
  </si>
  <si>
    <t>Man</t>
  </si>
  <si>
    <t>Primary carer of a child under 18</t>
  </si>
  <si>
    <t>Bisexual</t>
  </si>
  <si>
    <t>Secondary carer</t>
  </si>
  <si>
    <t>Black</t>
  </si>
  <si>
    <t>Gay</t>
  </si>
  <si>
    <t>Hispanic</t>
  </si>
  <si>
    <t>Muslim</t>
  </si>
  <si>
    <t>Pansexual</t>
  </si>
  <si>
    <t>Queer</t>
  </si>
  <si>
    <t>Primary carer for older person</t>
  </si>
  <si>
    <t>Prefer not to say</t>
  </si>
  <si>
    <t>Non-binary</t>
  </si>
  <si>
    <t>Asexual</t>
  </si>
  <si>
    <t>Primary carer of disabled child</t>
  </si>
  <si>
    <t>Buddhist</t>
  </si>
  <si>
    <t>Primary carer of older person</t>
  </si>
  <si>
    <t>Lesbian</t>
  </si>
  <si>
    <t>Primary carer of child under 18</t>
  </si>
  <si>
    <t xml:space="preserve">Secondary carer (another person carries out main caring role) ;Primary carer or assistant for an older person or people (65 years and over)  </t>
  </si>
  <si>
    <t>Black / African American</t>
  </si>
  <si>
    <t>Islam</t>
  </si>
  <si>
    <t xml:space="preserve">Primary carer of a child or children (under 18 years);Primary carer or assistant for an older person or people (65 years and over)  </t>
  </si>
  <si>
    <t>Hispanic / Latino</t>
  </si>
  <si>
    <t xml:space="preserve">Primary carer of a child or children (under 18 years);Primary carer of a child or children who is disabled or has a health condition, or illness, or temporary care needs (under 18 years)  </t>
  </si>
  <si>
    <t>Primary carer of a child or children (under 18 years)</t>
  </si>
  <si>
    <t>Asian (Vietnamese)</t>
  </si>
  <si>
    <t>Buddhism</t>
  </si>
  <si>
    <t xml:space="preserve">Primary carer of a child or children (under 18 years);Primary carer of a child or children who is disabled or has a health condition, or illness, or temporary care needs (under 18 years)  ;Primary carer or assistant for an older person or people (65 years and over)  </t>
  </si>
  <si>
    <t>White (Italian descent)</t>
  </si>
  <si>
    <t>Sikhism</t>
  </si>
  <si>
    <t xml:space="preserve">Primary carer of a child or children who is disabled or has a health condition, or illness, or temporary care needs (under 18 years)  </t>
  </si>
  <si>
    <t xml:space="preserve">Primary carer or assistant for a disabled adult or adults (18 years and over)  ;Primary carer or assistant for an older person or people (65 years and over)  ;Secondary carer (another person carries out main caring role) </t>
  </si>
  <si>
    <t>Asian (Korean)</t>
  </si>
  <si>
    <t xml:space="preserve">Primary carer or assistant for an older person or people (65 years and over)  </t>
  </si>
  <si>
    <t>Asian (Indian)</t>
  </si>
  <si>
    <t>Judaism</t>
  </si>
  <si>
    <t xml:space="preserve">Secondary carer (another person carries out main caring role) </t>
  </si>
  <si>
    <t xml:space="preserve">Primary carer of a child or children (under 18 years);Primary carer of a child or children who is disabled or has a health condition, or illness, or temporary care needs (under 18 years)  ;Primary carer or assistant for an older person or people (65 years and over)  ;Primary carer or assistant for a disabled adult or adults (18 years and over)  </t>
  </si>
  <si>
    <t xml:space="preserve">Secondary carer (another person carries out main caring role) ;Primary carer or assistant for a disabled adult or adults (18 years and over)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</si>
</sst>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pane xSplit="1" ySplit="1" topLeftCell="B30" activePane="bottomRight" state="frozen"/>
      <selection pane="bottomRight" activeCell="B1" sqref="B1:B1048576"/>
      <selection pane="bottomLeft"/>
      <selection pane="topRight"/>
    </sheetView>
  </sheetViews>
  <sheetFormatPr defaultRowHeight="15"/>
  <cols>
    <col min="1" max="1" width="7.7109375" customWidth="1"/>
    <col min="2" max="2" width="12.5703125" style="1" customWidth="1"/>
    <col min="3" max="3" width="14.42578125" customWidth="1"/>
    <col min="4" max="5" width="37.42578125" style="1" customWidth="1"/>
    <col min="6" max="7" width="37.42578125" customWidth="1"/>
    <col min="8" max="9" width="37.42578125" style="4" customWidth="1"/>
    <col min="10" max="12" width="37.42578125" customWidth="1"/>
    <col min="13" max="13" width="37.42578125" style="4" customWidth="1"/>
  </cols>
  <sheetData>
    <row r="1" spans="1:13" s="4" customFormat="1" ht="63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</row>
    <row r="2" spans="1:13">
      <c r="A2" s="5">
        <v>1</v>
      </c>
      <c r="B2" s="13">
        <v>1984</v>
      </c>
      <c r="C2" s="13">
        <f>2025-B2</f>
        <v>41</v>
      </c>
      <c r="D2" s="13" t="s">
        <v>13</v>
      </c>
      <c r="E2" s="13" t="s">
        <v>13</v>
      </c>
      <c r="F2" s="13" t="s">
        <v>14</v>
      </c>
      <c r="G2" s="13" t="s">
        <v>15</v>
      </c>
      <c r="H2" s="13" t="s">
        <v>16</v>
      </c>
      <c r="I2" s="13" t="s">
        <v>17</v>
      </c>
      <c r="J2" s="13" t="s">
        <v>13</v>
      </c>
      <c r="K2" s="13" t="s">
        <v>18</v>
      </c>
      <c r="L2" s="14" t="s">
        <v>19</v>
      </c>
      <c r="M2" s="11">
        <v>45908</v>
      </c>
    </row>
    <row r="3" spans="1:13">
      <c r="A3" s="5">
        <v>2</v>
      </c>
      <c r="B3" s="13">
        <v>1987</v>
      </c>
      <c r="C3" s="13">
        <f t="shared" ref="C3:C44" si="0">2025-B3</f>
        <v>38</v>
      </c>
      <c r="D3" s="13" t="s">
        <v>13</v>
      </c>
      <c r="E3" s="13" t="s">
        <v>20</v>
      </c>
      <c r="F3" s="13" t="s">
        <v>21</v>
      </c>
      <c r="G3" s="13" t="s">
        <v>22</v>
      </c>
      <c r="H3" s="13" t="s">
        <v>23</v>
      </c>
      <c r="I3" s="13" t="s">
        <v>24</v>
      </c>
      <c r="J3" s="13" t="s">
        <v>13</v>
      </c>
      <c r="K3" s="13" t="s">
        <v>18</v>
      </c>
      <c r="L3" s="14" t="s">
        <v>25</v>
      </c>
      <c r="M3" s="11">
        <v>45908</v>
      </c>
    </row>
    <row r="4" spans="1:13">
      <c r="A4" s="5">
        <v>3</v>
      </c>
      <c r="B4" s="13">
        <v>1975</v>
      </c>
      <c r="C4" s="13">
        <f t="shared" si="0"/>
        <v>50</v>
      </c>
      <c r="D4" s="13" t="s">
        <v>20</v>
      </c>
      <c r="E4" s="13" t="s">
        <v>20</v>
      </c>
      <c r="F4" s="13" t="s">
        <v>14</v>
      </c>
      <c r="G4" s="13" t="s">
        <v>19</v>
      </c>
      <c r="H4" s="13" t="s">
        <v>16</v>
      </c>
      <c r="I4" s="13" t="s">
        <v>17</v>
      </c>
      <c r="J4" s="13" t="s">
        <v>13</v>
      </c>
      <c r="K4" s="13" t="s">
        <v>26</v>
      </c>
      <c r="L4" s="14" t="s">
        <v>27</v>
      </c>
      <c r="M4" s="11">
        <v>45908</v>
      </c>
    </row>
    <row r="5" spans="1:13">
      <c r="A5" s="5">
        <v>4</v>
      </c>
      <c r="B5" s="13">
        <v>1995</v>
      </c>
      <c r="C5" s="13">
        <f t="shared" si="0"/>
        <v>30</v>
      </c>
      <c r="D5" s="13" t="s">
        <v>13</v>
      </c>
      <c r="E5" s="13" t="s">
        <v>13</v>
      </c>
      <c r="F5" s="13" t="s">
        <v>28</v>
      </c>
      <c r="G5" s="13" t="s">
        <v>15</v>
      </c>
      <c r="H5" s="13" t="s">
        <v>23</v>
      </c>
      <c r="I5" s="13" t="s">
        <v>24</v>
      </c>
      <c r="J5" s="13" t="s">
        <v>13</v>
      </c>
      <c r="K5" s="13" t="s">
        <v>29</v>
      </c>
      <c r="L5" s="14" t="s">
        <v>19</v>
      </c>
      <c r="M5" s="11">
        <v>45908</v>
      </c>
    </row>
    <row r="6" spans="1:13">
      <c r="A6" s="5">
        <v>5</v>
      </c>
      <c r="B6" s="13">
        <v>1956</v>
      </c>
      <c r="C6" s="13">
        <f t="shared" si="0"/>
        <v>69</v>
      </c>
      <c r="D6" s="13" t="s">
        <v>13</v>
      </c>
      <c r="E6" s="13" t="s">
        <v>13</v>
      </c>
      <c r="F6" s="13" t="s">
        <v>30</v>
      </c>
      <c r="G6" s="13" t="s">
        <v>31</v>
      </c>
      <c r="H6" s="13" t="s">
        <v>23</v>
      </c>
      <c r="I6" s="13" t="s">
        <v>24</v>
      </c>
      <c r="J6" s="13" t="s">
        <v>13</v>
      </c>
      <c r="K6" s="13" t="s">
        <v>32</v>
      </c>
      <c r="L6" s="14" t="s">
        <v>19</v>
      </c>
      <c r="M6" s="11">
        <v>45908</v>
      </c>
    </row>
    <row r="7" spans="1:13">
      <c r="A7" s="5">
        <v>6</v>
      </c>
      <c r="B7" s="13">
        <v>1980</v>
      </c>
      <c r="C7" s="13">
        <f t="shared" si="0"/>
        <v>45</v>
      </c>
      <c r="D7" s="13" t="s">
        <v>20</v>
      </c>
      <c r="E7" s="13" t="s">
        <v>13</v>
      </c>
      <c r="F7" s="13" t="s">
        <v>14</v>
      </c>
      <c r="G7" s="13" t="s">
        <v>15</v>
      </c>
      <c r="H7" s="13" t="s">
        <v>16</v>
      </c>
      <c r="I7" s="13" t="s">
        <v>17</v>
      </c>
      <c r="J7" s="13" t="s">
        <v>13</v>
      </c>
      <c r="K7" s="13" t="s">
        <v>33</v>
      </c>
      <c r="L7" s="14" t="s">
        <v>34</v>
      </c>
      <c r="M7" s="11">
        <v>45884.3934143519</v>
      </c>
    </row>
    <row r="8" spans="1:13">
      <c r="A8" s="5">
        <v>7</v>
      </c>
      <c r="B8" s="13">
        <v>1937</v>
      </c>
      <c r="C8" s="13">
        <f t="shared" si="0"/>
        <v>88</v>
      </c>
      <c r="D8" s="13" t="s">
        <v>13</v>
      </c>
      <c r="E8" s="13" t="s">
        <v>20</v>
      </c>
      <c r="F8" s="13" t="s">
        <v>14</v>
      </c>
      <c r="G8" s="13" t="s">
        <v>19</v>
      </c>
      <c r="H8" s="13" t="s">
        <v>23</v>
      </c>
      <c r="I8" s="13" t="s">
        <v>24</v>
      </c>
      <c r="J8" s="13" t="s">
        <v>13</v>
      </c>
      <c r="K8" s="13" t="s">
        <v>18</v>
      </c>
      <c r="L8" s="14" t="s">
        <v>19</v>
      </c>
      <c r="M8" s="11">
        <v>45908</v>
      </c>
    </row>
    <row r="9" spans="1:13">
      <c r="A9" s="5">
        <v>8</v>
      </c>
      <c r="B9" s="13">
        <v>1998</v>
      </c>
      <c r="C9" s="13">
        <f t="shared" si="0"/>
        <v>27</v>
      </c>
      <c r="D9" s="13" t="s">
        <v>13</v>
      </c>
      <c r="E9" s="13" t="s">
        <v>13</v>
      </c>
      <c r="F9" s="13" t="s">
        <v>14</v>
      </c>
      <c r="G9" s="13" t="s">
        <v>35</v>
      </c>
      <c r="H9" s="13" t="s">
        <v>36</v>
      </c>
      <c r="I9" s="13" t="s">
        <v>36</v>
      </c>
      <c r="J9" s="13" t="s">
        <v>20</v>
      </c>
      <c r="K9" s="13" t="s">
        <v>37</v>
      </c>
      <c r="L9" s="14" t="s">
        <v>19</v>
      </c>
      <c r="M9" s="11">
        <v>45911</v>
      </c>
    </row>
    <row r="10" spans="1:13">
      <c r="A10" s="5">
        <v>9</v>
      </c>
      <c r="B10" s="13">
        <v>1993</v>
      </c>
      <c r="C10" s="13">
        <f t="shared" si="0"/>
        <v>32</v>
      </c>
      <c r="D10" s="13" t="s">
        <v>13</v>
      </c>
      <c r="E10" s="13" t="s">
        <v>13</v>
      </c>
      <c r="F10" s="13" t="s">
        <v>30</v>
      </c>
      <c r="G10" s="13" t="s">
        <v>15</v>
      </c>
      <c r="H10" s="13" t="s">
        <v>23</v>
      </c>
      <c r="I10" s="13" t="s">
        <v>24</v>
      </c>
      <c r="J10" s="13" t="s">
        <v>13</v>
      </c>
      <c r="K10" s="13" t="s">
        <v>18</v>
      </c>
      <c r="L10" s="14" t="s">
        <v>19</v>
      </c>
      <c r="M10" s="11">
        <v>45916</v>
      </c>
    </row>
    <row r="11" spans="1:13">
      <c r="A11" s="5">
        <v>10</v>
      </c>
      <c r="B11" s="13">
        <v>1940</v>
      </c>
      <c r="C11" s="13">
        <f t="shared" si="0"/>
        <v>85</v>
      </c>
      <c r="D11" s="13" t="s">
        <v>13</v>
      </c>
      <c r="E11" s="13" t="s">
        <v>20</v>
      </c>
      <c r="F11" s="13" t="s">
        <v>14</v>
      </c>
      <c r="G11" s="13" t="s">
        <v>19</v>
      </c>
      <c r="H11" s="13" t="s">
        <v>16</v>
      </c>
      <c r="I11" s="13" t="s">
        <v>17</v>
      </c>
      <c r="J11" s="13" t="s">
        <v>13</v>
      </c>
      <c r="K11" s="13" t="s">
        <v>26</v>
      </c>
      <c r="L11" s="14" t="s">
        <v>38</v>
      </c>
      <c r="M11" s="11">
        <v>45952</v>
      </c>
    </row>
    <row r="12" spans="1:13">
      <c r="A12" s="5">
        <v>11</v>
      </c>
      <c r="B12" s="13">
        <v>1985</v>
      </c>
      <c r="C12" s="13">
        <f t="shared" si="0"/>
        <v>40</v>
      </c>
      <c r="D12" s="13" t="s">
        <v>20</v>
      </c>
      <c r="E12" s="13" t="s">
        <v>20</v>
      </c>
      <c r="F12" s="13" t="s">
        <v>14</v>
      </c>
      <c r="G12" s="13" t="s">
        <v>15</v>
      </c>
      <c r="H12" s="13" t="s">
        <v>23</v>
      </c>
      <c r="I12" s="13" t="s">
        <v>24</v>
      </c>
      <c r="J12" s="13" t="s">
        <v>13</v>
      </c>
      <c r="K12" s="13" t="s">
        <v>18</v>
      </c>
      <c r="L12" s="14" t="s">
        <v>19</v>
      </c>
      <c r="M12" s="11">
        <v>45952</v>
      </c>
    </row>
    <row r="13" spans="1:13">
      <c r="A13" s="5">
        <v>12</v>
      </c>
      <c r="B13" s="13">
        <v>1991</v>
      </c>
      <c r="C13" s="13">
        <f t="shared" si="0"/>
        <v>34</v>
      </c>
      <c r="D13" s="13" t="s">
        <v>13</v>
      </c>
      <c r="E13" s="13" t="s">
        <v>13</v>
      </c>
      <c r="F13" s="13" t="s">
        <v>28</v>
      </c>
      <c r="G13" s="13" t="s">
        <v>15</v>
      </c>
      <c r="H13" s="13" t="s">
        <v>23</v>
      </c>
      <c r="I13" s="13" t="s">
        <v>24</v>
      </c>
      <c r="J13" s="13" t="s">
        <v>13</v>
      </c>
      <c r="K13" s="13" t="s">
        <v>29</v>
      </c>
      <c r="L13" s="14" t="s">
        <v>19</v>
      </c>
      <c r="M13" s="11">
        <v>45952</v>
      </c>
    </row>
    <row r="14" spans="1:13">
      <c r="A14" s="5">
        <v>13</v>
      </c>
      <c r="B14" s="13">
        <v>1989</v>
      </c>
      <c r="C14" s="13">
        <f t="shared" si="0"/>
        <v>36</v>
      </c>
      <c r="D14" s="13" t="s">
        <v>13</v>
      </c>
      <c r="E14" s="13" t="s">
        <v>13</v>
      </c>
      <c r="F14" s="13" t="s">
        <v>21</v>
      </c>
      <c r="G14" s="13" t="s">
        <v>39</v>
      </c>
      <c r="H14" s="13" t="s">
        <v>23</v>
      </c>
      <c r="I14" s="13" t="s">
        <v>24</v>
      </c>
      <c r="J14" s="13" t="s">
        <v>13</v>
      </c>
      <c r="K14" s="13" t="s">
        <v>18</v>
      </c>
      <c r="L14" s="14" t="s">
        <v>19</v>
      </c>
      <c r="M14" s="11">
        <v>45952</v>
      </c>
    </row>
    <row r="15" spans="1:13">
      <c r="A15" s="5">
        <v>14</v>
      </c>
      <c r="B15" s="13">
        <v>1994</v>
      </c>
      <c r="C15" s="13">
        <f t="shared" si="0"/>
        <v>31</v>
      </c>
      <c r="D15" s="13" t="s">
        <v>13</v>
      </c>
      <c r="E15" s="13" t="s">
        <v>20</v>
      </c>
      <c r="F15" s="13" t="s">
        <v>21</v>
      </c>
      <c r="G15" s="13" t="s">
        <v>22</v>
      </c>
      <c r="H15" s="13" t="s">
        <v>16</v>
      </c>
      <c r="I15" s="13" t="s">
        <v>17</v>
      </c>
      <c r="J15" s="13" t="s">
        <v>13</v>
      </c>
      <c r="K15" s="13" t="s">
        <v>26</v>
      </c>
      <c r="L15" s="14" t="s">
        <v>19</v>
      </c>
      <c r="M15" s="11">
        <v>45947.923831018503</v>
      </c>
    </row>
    <row r="16" spans="1:13">
      <c r="A16" s="5">
        <v>15</v>
      </c>
      <c r="B16" s="13">
        <v>1978</v>
      </c>
      <c r="C16" s="13">
        <f t="shared" si="0"/>
        <v>47</v>
      </c>
      <c r="D16" s="13" t="s">
        <v>20</v>
      </c>
      <c r="E16" s="13" t="s">
        <v>20</v>
      </c>
      <c r="F16" s="13" t="s">
        <v>14</v>
      </c>
      <c r="G16" s="13" t="s">
        <v>15</v>
      </c>
      <c r="H16" s="13" t="s">
        <v>23</v>
      </c>
      <c r="I16" s="13" t="s">
        <v>24</v>
      </c>
      <c r="J16" s="13" t="s">
        <v>13</v>
      </c>
      <c r="K16" s="13" t="s">
        <v>18</v>
      </c>
      <c r="L16" s="14" t="s">
        <v>40</v>
      </c>
      <c r="M16" s="11">
        <v>45940.822800925896</v>
      </c>
    </row>
    <row r="17" spans="1:13">
      <c r="A17" s="5">
        <v>16</v>
      </c>
      <c r="B17" s="13">
        <v>1955</v>
      </c>
      <c r="C17" s="13">
        <f t="shared" si="0"/>
        <v>70</v>
      </c>
      <c r="D17" s="13" t="s">
        <v>13</v>
      </c>
      <c r="E17" s="13" t="s">
        <v>13</v>
      </c>
      <c r="F17" s="13" t="s">
        <v>28</v>
      </c>
      <c r="G17" s="13" t="s">
        <v>15</v>
      </c>
      <c r="H17" s="13" t="s">
        <v>16</v>
      </c>
      <c r="I17" s="13" t="s">
        <v>17</v>
      </c>
      <c r="J17" s="13" t="s">
        <v>13</v>
      </c>
      <c r="K17" s="13" t="s">
        <v>32</v>
      </c>
      <c r="L17" s="14" t="s">
        <v>19</v>
      </c>
      <c r="M17" s="11">
        <v>45940.831631944398</v>
      </c>
    </row>
    <row r="18" spans="1:13">
      <c r="A18" s="5">
        <v>17</v>
      </c>
      <c r="B18" s="13">
        <v>1945</v>
      </c>
      <c r="C18" s="13">
        <f t="shared" si="0"/>
        <v>80</v>
      </c>
      <c r="D18" s="13" t="s">
        <v>13</v>
      </c>
      <c r="E18" s="13" t="s">
        <v>13</v>
      </c>
      <c r="F18" s="13" t="s">
        <v>21</v>
      </c>
      <c r="G18" s="13" t="s">
        <v>22</v>
      </c>
      <c r="H18" s="13" t="s">
        <v>16</v>
      </c>
      <c r="I18" s="13" t="s">
        <v>17</v>
      </c>
      <c r="J18" s="13" t="s">
        <v>13</v>
      </c>
      <c r="K18" s="13" t="s">
        <v>18</v>
      </c>
      <c r="L18" s="14" t="s">
        <v>19</v>
      </c>
      <c r="M18" s="11">
        <v>45953.981076388904</v>
      </c>
    </row>
    <row r="19" spans="1:13">
      <c r="A19" s="5">
        <v>18</v>
      </c>
      <c r="B19" s="13">
        <v>1986</v>
      </c>
      <c r="C19" s="13">
        <f t="shared" si="0"/>
        <v>39</v>
      </c>
      <c r="D19" s="13" t="s">
        <v>20</v>
      </c>
      <c r="E19" s="13" t="s">
        <v>20</v>
      </c>
      <c r="F19" s="13" t="s">
        <v>14</v>
      </c>
      <c r="G19" s="13" t="s">
        <v>15</v>
      </c>
      <c r="H19" s="13" t="s">
        <v>16</v>
      </c>
      <c r="I19" s="13" t="s">
        <v>17</v>
      </c>
      <c r="J19" s="13" t="s">
        <v>13</v>
      </c>
      <c r="K19" s="13" t="s">
        <v>41</v>
      </c>
      <c r="L19" s="14" t="s">
        <v>27</v>
      </c>
      <c r="M19" s="11">
        <v>45943.467592592599</v>
      </c>
    </row>
    <row r="20" spans="1:13">
      <c r="A20" s="5">
        <v>19</v>
      </c>
      <c r="B20" s="13">
        <v>1948</v>
      </c>
      <c r="C20" s="13">
        <f t="shared" si="0"/>
        <v>77</v>
      </c>
      <c r="D20" s="13" t="s">
        <v>13</v>
      </c>
      <c r="E20" s="13" t="s">
        <v>13</v>
      </c>
      <c r="F20" s="13" t="s">
        <v>21</v>
      </c>
      <c r="G20" s="13" t="s">
        <v>39</v>
      </c>
      <c r="H20" s="13" t="s">
        <v>16</v>
      </c>
      <c r="I20" s="13" t="s">
        <v>17</v>
      </c>
      <c r="J20" s="13" t="s">
        <v>13</v>
      </c>
      <c r="K20" s="13" t="s">
        <v>18</v>
      </c>
      <c r="L20" s="14" t="s">
        <v>19</v>
      </c>
      <c r="M20" s="11">
        <v>45946.452523148197</v>
      </c>
    </row>
    <row r="21" spans="1:13">
      <c r="A21" s="5">
        <v>20</v>
      </c>
      <c r="B21" s="13">
        <v>1983</v>
      </c>
      <c r="C21" s="13">
        <f t="shared" si="0"/>
        <v>42</v>
      </c>
      <c r="D21" s="13" t="s">
        <v>13</v>
      </c>
      <c r="E21" s="13" t="s">
        <v>20</v>
      </c>
      <c r="F21" s="13" t="s">
        <v>14</v>
      </c>
      <c r="G21" s="13" t="s">
        <v>15</v>
      </c>
      <c r="H21" s="13" t="s">
        <v>23</v>
      </c>
      <c r="I21" s="13" t="s">
        <v>24</v>
      </c>
      <c r="J21" s="13" t="s">
        <v>13</v>
      </c>
      <c r="K21" s="13" t="s">
        <v>18</v>
      </c>
      <c r="L21" s="14" t="s">
        <v>42</v>
      </c>
      <c r="M21" s="11">
        <v>45940.737789351901</v>
      </c>
    </row>
    <row r="22" spans="1:13">
      <c r="A22" s="5">
        <v>21</v>
      </c>
      <c r="B22" s="12">
        <v>1950</v>
      </c>
      <c r="C22" s="12">
        <f t="shared" si="0"/>
        <v>75</v>
      </c>
      <c r="D22" s="12" t="s">
        <v>20</v>
      </c>
      <c r="E22" s="12" t="s">
        <v>20</v>
      </c>
      <c r="F22" s="12" t="s">
        <v>21</v>
      </c>
      <c r="G22" s="12" t="s">
        <v>22</v>
      </c>
      <c r="H22" s="12" t="s">
        <v>23</v>
      </c>
      <c r="I22" s="12" t="s">
        <v>24</v>
      </c>
      <c r="J22" s="12" t="s">
        <v>13</v>
      </c>
      <c r="K22" s="12" t="s">
        <v>18</v>
      </c>
      <c r="L22" s="14" t="s">
        <v>19</v>
      </c>
      <c r="M22" s="11">
        <v>45944.586493055598</v>
      </c>
    </row>
    <row r="23" spans="1:13">
      <c r="A23" s="5">
        <v>22</v>
      </c>
      <c r="B23" s="12">
        <v>1995</v>
      </c>
      <c r="C23" s="12">
        <f t="shared" si="0"/>
        <v>30</v>
      </c>
      <c r="D23" s="12" t="s">
        <v>20</v>
      </c>
      <c r="E23" s="12" t="s">
        <v>20</v>
      </c>
      <c r="F23" s="12" t="s">
        <v>14</v>
      </c>
      <c r="G23" s="13" t="s">
        <v>15</v>
      </c>
      <c r="H23" s="12" t="s">
        <v>16</v>
      </c>
      <c r="I23" s="12" t="s">
        <v>17</v>
      </c>
      <c r="J23" s="12" t="s">
        <v>13</v>
      </c>
      <c r="K23" s="12" t="s">
        <v>18</v>
      </c>
      <c r="L23" s="9" t="s">
        <v>43</v>
      </c>
      <c r="M23" s="11">
        <v>45950.522569444402</v>
      </c>
    </row>
    <row r="24" spans="1:13">
      <c r="A24" s="5">
        <v>23</v>
      </c>
      <c r="B24" s="12">
        <v>1996</v>
      </c>
      <c r="C24" s="12">
        <f t="shared" si="0"/>
        <v>29</v>
      </c>
      <c r="D24" s="12" t="s">
        <v>13</v>
      </c>
      <c r="E24" s="12" t="s">
        <v>13</v>
      </c>
      <c r="F24" s="12" t="s">
        <v>44</v>
      </c>
      <c r="G24" s="12" t="s">
        <v>45</v>
      </c>
      <c r="H24" s="12" t="s">
        <v>23</v>
      </c>
      <c r="I24" s="12" t="s">
        <v>24</v>
      </c>
      <c r="J24" s="12" t="s">
        <v>20</v>
      </c>
      <c r="K24" s="12" t="s">
        <v>18</v>
      </c>
      <c r="L24" s="9" t="s">
        <v>46</v>
      </c>
      <c r="M24" s="11">
        <v>45943.358055555596</v>
      </c>
    </row>
    <row r="25" spans="1:13">
      <c r="A25" s="5">
        <v>24</v>
      </c>
      <c r="B25" s="12">
        <v>1982</v>
      </c>
      <c r="C25" s="12">
        <f t="shared" si="0"/>
        <v>43</v>
      </c>
      <c r="D25" s="12" t="s">
        <v>20</v>
      </c>
      <c r="E25" s="12" t="s">
        <v>13</v>
      </c>
      <c r="F25" s="12" t="s">
        <v>47</v>
      </c>
      <c r="G25" s="12" t="s">
        <v>35</v>
      </c>
      <c r="H25" s="12" t="s">
        <v>16</v>
      </c>
      <c r="I25" s="12" t="s">
        <v>17</v>
      </c>
      <c r="J25" s="12" t="s">
        <v>13</v>
      </c>
      <c r="K25" s="12" t="s">
        <v>18</v>
      </c>
      <c r="L25" s="9" t="s">
        <v>48</v>
      </c>
      <c r="M25" s="11">
        <v>45940.882013888899</v>
      </c>
    </row>
    <row r="26" spans="1:13">
      <c r="A26" s="5">
        <v>25</v>
      </c>
      <c r="B26" s="12">
        <v>1987</v>
      </c>
      <c r="C26" s="12">
        <f t="shared" si="0"/>
        <v>38</v>
      </c>
      <c r="D26" s="12" t="s">
        <v>13</v>
      </c>
      <c r="E26" s="12" t="s">
        <v>13</v>
      </c>
      <c r="F26" s="12" t="s">
        <v>14</v>
      </c>
      <c r="G26" s="13" t="s">
        <v>15</v>
      </c>
      <c r="H26" s="12" t="s">
        <v>23</v>
      </c>
      <c r="I26" s="12" t="s">
        <v>24</v>
      </c>
      <c r="J26" s="12" t="s">
        <v>13</v>
      </c>
      <c r="K26" s="12" t="s">
        <v>18</v>
      </c>
      <c r="L26" s="9" t="s">
        <v>49</v>
      </c>
      <c r="M26" s="11">
        <v>45940.941018518497</v>
      </c>
    </row>
    <row r="27" spans="1:13">
      <c r="A27" s="5">
        <v>26</v>
      </c>
      <c r="B27" s="12">
        <v>1957</v>
      </c>
      <c r="C27" s="12">
        <f t="shared" si="0"/>
        <v>68</v>
      </c>
      <c r="D27" s="12" t="s">
        <v>13</v>
      </c>
      <c r="E27" s="12" t="s">
        <v>13</v>
      </c>
      <c r="F27" s="12" t="s">
        <v>50</v>
      </c>
      <c r="G27" s="12" t="s">
        <v>51</v>
      </c>
      <c r="H27" s="12" t="s">
        <v>16</v>
      </c>
      <c r="I27" s="12" t="s">
        <v>17</v>
      </c>
      <c r="J27" s="12" t="s">
        <v>13</v>
      </c>
      <c r="K27" s="12" t="s">
        <v>18</v>
      </c>
      <c r="L27" s="9" t="s">
        <v>52</v>
      </c>
      <c r="M27" s="11">
        <v>45945.523217592599</v>
      </c>
    </row>
    <row r="28" spans="1:13">
      <c r="A28" s="5">
        <v>27</v>
      </c>
      <c r="B28" s="12">
        <v>1964</v>
      </c>
      <c r="C28" s="12">
        <f t="shared" si="0"/>
        <v>61</v>
      </c>
      <c r="D28" s="12" t="s">
        <v>13</v>
      </c>
      <c r="E28" s="12" t="s">
        <v>13</v>
      </c>
      <c r="F28" s="12" t="s">
        <v>53</v>
      </c>
      <c r="G28" s="12" t="s">
        <v>54</v>
      </c>
      <c r="H28" s="12" t="s">
        <v>16</v>
      </c>
      <c r="I28" s="12" t="s">
        <v>17</v>
      </c>
      <c r="J28" s="12" t="s">
        <v>13</v>
      </c>
      <c r="K28" s="12" t="s">
        <v>18</v>
      </c>
      <c r="L28" s="9" t="s">
        <v>55</v>
      </c>
      <c r="M28" s="11">
        <v>45950.596030092602</v>
      </c>
    </row>
    <row r="29" spans="1:13">
      <c r="A29" s="5">
        <v>28</v>
      </c>
      <c r="B29" s="12">
        <v>1990</v>
      </c>
      <c r="C29" s="12">
        <f t="shared" si="0"/>
        <v>35</v>
      </c>
      <c r="D29" s="12" t="s">
        <v>13</v>
      </c>
      <c r="E29" s="12" t="s">
        <v>20</v>
      </c>
      <c r="F29" s="12" t="s">
        <v>14</v>
      </c>
      <c r="G29" s="13" t="s">
        <v>15</v>
      </c>
      <c r="H29" s="12" t="s">
        <v>16</v>
      </c>
      <c r="I29" s="12" t="s">
        <v>17</v>
      </c>
      <c r="J29" s="12" t="s">
        <v>13</v>
      </c>
      <c r="K29" s="12" t="s">
        <v>26</v>
      </c>
      <c r="L29" s="9" t="s">
        <v>56</v>
      </c>
      <c r="M29" s="11">
        <v>45941.544733796298</v>
      </c>
    </row>
    <row r="30" spans="1:13">
      <c r="A30" s="5">
        <v>29</v>
      </c>
      <c r="B30" s="12">
        <v>1954</v>
      </c>
      <c r="C30" s="12">
        <f t="shared" si="0"/>
        <v>71</v>
      </c>
      <c r="D30" s="12" t="s">
        <v>20</v>
      </c>
      <c r="E30" s="12" t="s">
        <v>13</v>
      </c>
      <c r="F30" s="12" t="s">
        <v>57</v>
      </c>
      <c r="G30" s="12" t="s">
        <v>45</v>
      </c>
      <c r="H30" s="12" t="s">
        <v>16</v>
      </c>
      <c r="I30" s="12" t="s">
        <v>17</v>
      </c>
      <c r="J30" s="12" t="s">
        <v>13</v>
      </c>
      <c r="K30" s="12" t="s">
        <v>18</v>
      </c>
      <c r="L30" s="9" t="s">
        <v>55</v>
      </c>
      <c r="M30" s="11">
        <v>45953.7130092593</v>
      </c>
    </row>
    <row r="31" spans="1:13">
      <c r="A31" s="5">
        <v>30</v>
      </c>
      <c r="B31" s="12">
        <v>1998</v>
      </c>
      <c r="C31" s="12">
        <f t="shared" si="0"/>
        <v>27</v>
      </c>
      <c r="D31" s="12" t="s">
        <v>20</v>
      </c>
      <c r="E31" s="12" t="s">
        <v>20</v>
      </c>
      <c r="F31" s="12" t="s">
        <v>14</v>
      </c>
      <c r="G31" s="13" t="s">
        <v>22</v>
      </c>
      <c r="H31" s="12" t="s">
        <v>16</v>
      </c>
      <c r="I31" s="12" t="s">
        <v>17</v>
      </c>
      <c r="J31" s="12" t="s">
        <v>13</v>
      </c>
      <c r="K31" s="12" t="s">
        <v>18</v>
      </c>
      <c r="L31" s="9" t="s">
        <v>19</v>
      </c>
      <c r="M31" s="11">
        <v>45946.591400463003</v>
      </c>
    </row>
    <row r="32" spans="1:13">
      <c r="A32" s="5">
        <v>31</v>
      </c>
      <c r="B32" s="12">
        <v>1979</v>
      </c>
      <c r="C32" s="12">
        <f t="shared" si="0"/>
        <v>46</v>
      </c>
      <c r="D32" s="12" t="s">
        <v>13</v>
      </c>
      <c r="E32" s="12" t="s">
        <v>13</v>
      </c>
      <c r="F32" s="12" t="s">
        <v>47</v>
      </c>
      <c r="G32" s="12" t="s">
        <v>51</v>
      </c>
      <c r="H32" s="12" t="s">
        <v>23</v>
      </c>
      <c r="I32" s="12" t="s">
        <v>24</v>
      </c>
      <c r="J32" s="12" t="s">
        <v>13</v>
      </c>
      <c r="K32" s="12" t="s">
        <v>32</v>
      </c>
      <c r="L32" s="9" t="s">
        <v>58</v>
      </c>
      <c r="M32" s="11">
        <v>45945.846504629597</v>
      </c>
    </row>
    <row r="33" spans="1:13">
      <c r="A33" s="5">
        <v>32</v>
      </c>
      <c r="B33" s="12">
        <v>1985</v>
      </c>
      <c r="C33" s="12">
        <f t="shared" si="0"/>
        <v>40</v>
      </c>
      <c r="D33" s="12" t="s">
        <v>13</v>
      </c>
      <c r="E33" s="12" t="s">
        <v>13</v>
      </c>
      <c r="F33" s="12" t="s">
        <v>59</v>
      </c>
      <c r="G33" s="13" t="s">
        <v>15</v>
      </c>
      <c r="H33" s="12" t="s">
        <v>16</v>
      </c>
      <c r="I33" s="12" t="s">
        <v>17</v>
      </c>
      <c r="J33" s="12" t="s">
        <v>13</v>
      </c>
      <c r="K33" s="12" t="s">
        <v>18</v>
      </c>
      <c r="L33" s="9" t="s">
        <v>49</v>
      </c>
      <c r="M33" s="11">
        <v>45941.511226851901</v>
      </c>
    </row>
    <row r="34" spans="1:13">
      <c r="A34" s="5">
        <v>33</v>
      </c>
      <c r="B34" s="12">
        <v>1988</v>
      </c>
      <c r="C34" s="12">
        <f t="shared" si="0"/>
        <v>37</v>
      </c>
      <c r="D34" s="12" t="s">
        <v>13</v>
      </c>
      <c r="E34" s="12" t="s">
        <v>20</v>
      </c>
      <c r="F34" s="12" t="s">
        <v>14</v>
      </c>
      <c r="G34" s="12" t="s">
        <v>60</v>
      </c>
      <c r="H34" s="12" t="s">
        <v>23</v>
      </c>
      <c r="I34" s="12" t="s">
        <v>24</v>
      </c>
      <c r="J34" s="12" t="s">
        <v>13</v>
      </c>
      <c r="K34" s="12" t="s">
        <v>18</v>
      </c>
      <c r="L34" s="9" t="s">
        <v>19</v>
      </c>
      <c r="M34" s="11">
        <v>45939.639490740701</v>
      </c>
    </row>
    <row r="35" spans="1:13">
      <c r="A35" s="5">
        <v>34</v>
      </c>
      <c r="B35" s="12">
        <v>1970</v>
      </c>
      <c r="C35" s="12">
        <f t="shared" si="0"/>
        <v>55</v>
      </c>
      <c r="D35" s="12" t="s">
        <v>20</v>
      </c>
      <c r="E35" s="12" t="s">
        <v>13</v>
      </c>
      <c r="F35" s="12" t="s">
        <v>14</v>
      </c>
      <c r="G35" s="13" t="s">
        <v>15</v>
      </c>
      <c r="H35" s="12" t="s">
        <v>16</v>
      </c>
      <c r="I35" s="12" t="s">
        <v>17</v>
      </c>
      <c r="J35" s="12" t="s">
        <v>20</v>
      </c>
      <c r="K35" s="12" t="s">
        <v>18</v>
      </c>
      <c r="L35" s="9" t="s">
        <v>61</v>
      </c>
      <c r="M35" s="11">
        <v>45940.593553240702</v>
      </c>
    </row>
    <row r="36" spans="1:13">
      <c r="A36" s="5">
        <v>35</v>
      </c>
      <c r="B36" s="12">
        <v>1991</v>
      </c>
      <c r="C36" s="12">
        <f t="shared" si="0"/>
        <v>34</v>
      </c>
      <c r="D36" s="12" t="s">
        <v>13</v>
      </c>
      <c r="E36" s="12" t="s">
        <v>20</v>
      </c>
      <c r="F36" s="12" t="s">
        <v>47</v>
      </c>
      <c r="G36" s="13" t="s">
        <v>15</v>
      </c>
      <c r="H36" s="12" t="s">
        <v>23</v>
      </c>
      <c r="I36" s="12" t="s">
        <v>24</v>
      </c>
      <c r="J36" s="12" t="s">
        <v>13</v>
      </c>
      <c r="K36" s="12" t="s">
        <v>18</v>
      </c>
      <c r="L36" s="9" t="s">
        <v>62</v>
      </c>
      <c r="M36" s="11">
        <v>45940.583854166704</v>
      </c>
    </row>
    <row r="37" spans="1:13">
      <c r="A37" s="5">
        <v>36</v>
      </c>
      <c r="B37" s="12">
        <v>1935</v>
      </c>
      <c r="C37" s="12">
        <f t="shared" si="0"/>
        <v>90</v>
      </c>
      <c r="D37" s="12" t="s">
        <v>13</v>
      </c>
      <c r="E37" s="12" t="s">
        <v>13</v>
      </c>
      <c r="F37" s="12" t="s">
        <v>21</v>
      </c>
      <c r="G37" s="12" t="s">
        <v>54</v>
      </c>
      <c r="H37" s="12" t="s">
        <v>16</v>
      </c>
      <c r="I37" s="12" t="s">
        <v>17</v>
      </c>
      <c r="J37" s="12" t="s">
        <v>13</v>
      </c>
      <c r="K37" s="12" t="s">
        <v>18</v>
      </c>
      <c r="L37" s="9" t="s">
        <v>63</v>
      </c>
      <c r="M37" s="11">
        <v>45940.637800925899</v>
      </c>
    </row>
    <row r="38" spans="1:13">
      <c r="A38" s="5">
        <v>37</v>
      </c>
      <c r="B38" s="12">
        <v>1997</v>
      </c>
      <c r="C38" s="12">
        <f t="shared" si="0"/>
        <v>28</v>
      </c>
      <c r="D38" s="12" t="s">
        <v>13</v>
      </c>
      <c r="E38" s="12" t="s">
        <v>13</v>
      </c>
      <c r="F38" s="12" t="s">
        <v>14</v>
      </c>
      <c r="G38" s="13" t="s">
        <v>15</v>
      </c>
      <c r="H38" s="12" t="s">
        <v>16</v>
      </c>
      <c r="I38" s="12" t="s">
        <v>17</v>
      </c>
      <c r="J38" s="12" t="s">
        <v>13</v>
      </c>
      <c r="K38" s="12" t="s">
        <v>18</v>
      </c>
      <c r="L38" s="9" t="s">
        <v>19</v>
      </c>
      <c r="M38" s="11">
        <v>45946.517326388901</v>
      </c>
    </row>
    <row r="39" spans="1:13">
      <c r="A39" s="5">
        <v>38</v>
      </c>
      <c r="B39" s="12">
        <v>1986</v>
      </c>
      <c r="C39" s="12">
        <f t="shared" si="0"/>
        <v>39</v>
      </c>
      <c r="D39" s="12" t="s">
        <v>13</v>
      </c>
      <c r="E39" s="12" t="s">
        <v>13</v>
      </c>
      <c r="F39" s="12" t="s">
        <v>14</v>
      </c>
      <c r="G39" s="12" t="s">
        <v>15</v>
      </c>
      <c r="H39" s="12" t="s">
        <v>16</v>
      </c>
      <c r="I39" s="12" t="s">
        <v>17</v>
      </c>
      <c r="J39" s="12" t="s">
        <v>13</v>
      </c>
      <c r="K39" s="12" t="s">
        <v>18</v>
      </c>
      <c r="L39" s="14" t="s">
        <v>27</v>
      </c>
      <c r="M39" s="11">
        <v>45947.410543981503</v>
      </c>
    </row>
    <row r="40" spans="1:13">
      <c r="A40" s="5">
        <v>39</v>
      </c>
      <c r="B40" s="12">
        <v>1970</v>
      </c>
      <c r="C40" s="12">
        <f t="shared" si="0"/>
        <v>55</v>
      </c>
      <c r="D40" s="12" t="s">
        <v>13</v>
      </c>
      <c r="E40" s="12" t="s">
        <v>13</v>
      </c>
      <c r="F40" s="12" t="s">
        <v>21</v>
      </c>
      <c r="G40" s="12" t="s">
        <v>45</v>
      </c>
      <c r="H40" s="12" t="s">
        <v>16</v>
      </c>
      <c r="I40" s="12" t="s">
        <v>17</v>
      </c>
      <c r="J40" s="12" t="s">
        <v>13</v>
      </c>
      <c r="K40" s="12" t="s">
        <v>18</v>
      </c>
      <c r="L40" s="14" t="s">
        <v>34</v>
      </c>
      <c r="M40" s="11">
        <v>45950.932164351798</v>
      </c>
    </row>
    <row r="41" spans="1:13">
      <c r="A41" s="6">
        <v>40</v>
      </c>
      <c r="B41" s="10">
        <v>1964</v>
      </c>
      <c r="C41" s="12">
        <f t="shared" si="0"/>
        <v>61</v>
      </c>
      <c r="D41" s="12" t="s">
        <v>13</v>
      </c>
      <c r="E41" s="12" t="s">
        <v>13</v>
      </c>
      <c r="F41" s="12" t="s">
        <v>14</v>
      </c>
      <c r="G41" s="12" t="s">
        <v>15</v>
      </c>
      <c r="H41" s="12" t="s">
        <v>16</v>
      </c>
      <c r="I41" s="12" t="s">
        <v>17</v>
      </c>
      <c r="J41" s="12" t="s">
        <v>13</v>
      </c>
      <c r="K41" s="12" t="s">
        <v>18</v>
      </c>
      <c r="L41" s="9" t="s">
        <v>19</v>
      </c>
      <c r="M41" s="11">
        <v>45951.148194444402</v>
      </c>
    </row>
    <row r="42" spans="1:13">
      <c r="A42" s="6">
        <v>41</v>
      </c>
      <c r="B42" s="10">
        <v>1985</v>
      </c>
      <c r="C42" s="12">
        <f t="shared" si="0"/>
        <v>40</v>
      </c>
      <c r="D42" s="12" t="s">
        <v>13</v>
      </c>
      <c r="E42" s="10" t="s">
        <v>20</v>
      </c>
      <c r="F42" s="12" t="s">
        <v>14</v>
      </c>
      <c r="G42" s="12" t="s">
        <v>15</v>
      </c>
      <c r="H42" s="12" t="s">
        <v>16</v>
      </c>
      <c r="I42" s="12" t="s">
        <v>17</v>
      </c>
      <c r="J42" s="12" t="s">
        <v>13</v>
      </c>
      <c r="K42" s="12" t="s">
        <v>18</v>
      </c>
      <c r="L42" s="14" t="s">
        <v>27</v>
      </c>
      <c r="M42" s="11">
        <v>45952.372534722199</v>
      </c>
    </row>
    <row r="43" spans="1:13">
      <c r="A43" s="6">
        <v>42</v>
      </c>
      <c r="B43" s="10">
        <v>1970</v>
      </c>
      <c r="C43" s="12">
        <f t="shared" si="0"/>
        <v>55</v>
      </c>
      <c r="D43" s="10" t="s">
        <v>20</v>
      </c>
      <c r="E43" s="10" t="s">
        <v>13</v>
      </c>
      <c r="F43" s="12" t="s">
        <v>14</v>
      </c>
      <c r="G43" s="12" t="s">
        <v>15</v>
      </c>
      <c r="H43" s="12" t="s">
        <v>23</v>
      </c>
      <c r="I43" s="12" t="s">
        <v>24</v>
      </c>
      <c r="J43" s="12" t="s">
        <v>13</v>
      </c>
      <c r="K43" s="12" t="s">
        <v>18</v>
      </c>
      <c r="L43" s="14" t="s">
        <v>34</v>
      </c>
      <c r="M43" s="11">
        <v>45954.368252314802</v>
      </c>
    </row>
    <row r="44" spans="1:13">
      <c r="A44" s="6">
        <v>43</v>
      </c>
      <c r="B44" s="10">
        <v>1943</v>
      </c>
      <c r="C44" s="12">
        <f t="shared" si="0"/>
        <v>82</v>
      </c>
      <c r="D44" s="10" t="s">
        <v>13</v>
      </c>
      <c r="E44" s="10" t="s">
        <v>13</v>
      </c>
      <c r="F44" s="12" t="s">
        <v>14</v>
      </c>
      <c r="G44" s="12" t="s">
        <v>15</v>
      </c>
      <c r="H44" s="12" t="s">
        <v>23</v>
      </c>
      <c r="I44" s="12" t="s">
        <v>24</v>
      </c>
      <c r="J44" s="12" t="s">
        <v>13</v>
      </c>
      <c r="K44" s="12" t="s">
        <v>18</v>
      </c>
      <c r="L44" s="8" t="s">
        <v>19</v>
      </c>
      <c r="M44" s="11">
        <v>45958.611643518503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5FC81F0CCC214F99AC48BAC9D9C1D7" ma:contentTypeVersion="15" ma:contentTypeDescription="Create a new document." ma:contentTypeScope="" ma:versionID="3cb68a8257a972fe45004759f88001b8">
  <xsd:schema xmlns:xsd="http://www.w3.org/2001/XMLSchema" xmlns:xs="http://www.w3.org/2001/XMLSchema" xmlns:p="http://schemas.microsoft.com/office/2006/metadata/properties" xmlns:ns2="7ae45b7e-3821-4dfa-9f20-0de25a3f8e37" xmlns:ns3="717b9a74-c024-4abc-8d04-894eadc176d4" targetNamespace="http://schemas.microsoft.com/office/2006/metadata/properties" ma:root="true" ma:fieldsID="d21f99f8179b1378489b2118c6a67cad" ns2:_="" ns3:_="">
    <xsd:import namespace="7ae45b7e-3821-4dfa-9f20-0de25a3f8e37"/>
    <xsd:import namespace="717b9a74-c024-4abc-8d04-894eadc176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45b7e-3821-4dfa-9f20-0de25a3f8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3a19cb6-1b10-4512-a12b-f76e45842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b9a74-c024-4abc-8d04-894eadc176d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2974726-d290-419d-a231-c6d02502b5a7}" ma:internalName="TaxCatchAll" ma:showField="CatchAllData" ma:web="717b9a74-c024-4abc-8d04-894eadc176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e45b7e-3821-4dfa-9f20-0de25a3f8e37">
      <Terms xmlns="http://schemas.microsoft.com/office/infopath/2007/PartnerControls"/>
    </lcf76f155ced4ddcb4097134ff3c332f>
    <TaxCatchAll xmlns="717b9a74-c024-4abc-8d04-894eadc176d4" xsi:nil="true"/>
  </documentManagement>
</p:properties>
</file>

<file path=customXml/itemProps1.xml><?xml version="1.0" encoding="utf-8"?>
<ds:datastoreItem xmlns:ds="http://schemas.openxmlformats.org/officeDocument/2006/customXml" ds:itemID="{F996ECB5-99F9-4D71-87D4-9AB66F322F5E}"/>
</file>

<file path=customXml/itemProps2.xml><?xml version="1.0" encoding="utf-8"?>
<ds:datastoreItem xmlns:ds="http://schemas.openxmlformats.org/officeDocument/2006/customXml" ds:itemID="{48AAA038-4B6D-44AF-91B2-B0A7B861040B}"/>
</file>

<file path=customXml/itemProps3.xml><?xml version="1.0" encoding="utf-8"?>
<ds:datastoreItem xmlns:ds="http://schemas.openxmlformats.org/officeDocument/2006/customXml" ds:itemID="{DF66B74A-E727-4775-BCDE-383E2D2F5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Bhavya Nair</cp:lastModifiedBy>
  <cp:revision/>
  <dcterms:created xsi:type="dcterms:W3CDTF">2025-12-10T10:17:10Z</dcterms:created>
  <dcterms:modified xsi:type="dcterms:W3CDTF">2025-12-10T11:03:37Z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0x010100AB5FC81F0CCC214F99AC48BAC9D9C1D7</vt:lpwstr>
  </property>
  <property fmtid="{D5CDD505-2E9C-101B-9397-08002B2CF9AE}" pid="3" name="MediaServiceImageTags">
    <vt:lpwstr/>
  </property>
</Properties>
</file>